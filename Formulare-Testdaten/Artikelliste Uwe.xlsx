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ristian-kaest-0b420e63.webdav.hidrive.ionos.com/public/Tabelle Uwe Computer/"/>
    </mc:Choice>
  </mc:AlternateContent>
  <xr:revisionPtr revIDLastSave="0" documentId="13_ncr:1_{C1D9B04D-E65B-4AE8-9066-90C842560FF2}" xr6:coauthVersionLast="47" xr6:coauthVersionMax="47" xr10:uidLastSave="{00000000-0000-0000-0000-000000000000}"/>
  <bookViews>
    <workbookView xWindow="1050" yWindow="-120" windowWidth="27870" windowHeight="16440" xr2:uid="{1D9CE58D-3F01-4330-839F-6BE7B8925E28}"/>
  </bookViews>
  <sheets>
    <sheet name="Tabelle1" sheetId="1" r:id="rId1"/>
  </sheets>
  <definedNames>
    <definedName name="_xlnm._FilterDatabase" localSheetId="0" hidden="1">Tabelle1!$A$1:$I$28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31" i="1"/>
  <c r="I43" i="1" s="1"/>
  <c r="I31" i="1"/>
  <c r="H40" i="1" l="1"/>
  <c r="H41" i="1" l="1"/>
  <c r="H42" i="1" s="1"/>
  <c r="H43" i="1" s="1"/>
</calcChain>
</file>

<file path=xl/sharedStrings.xml><?xml version="1.0" encoding="utf-8"?>
<sst xmlns="http://schemas.openxmlformats.org/spreadsheetml/2006/main" count="50" uniqueCount="44">
  <si>
    <t>Summen:</t>
  </si>
  <si>
    <t>Zwischensumme</t>
  </si>
  <si>
    <t>Risikoaufschlag</t>
  </si>
  <si>
    <t>Kundenpreis</t>
  </si>
  <si>
    <t>je Tonne</t>
  </si>
  <si>
    <t>Artikel Nummer</t>
  </si>
  <si>
    <t>Beschreibung Artikel</t>
  </si>
  <si>
    <t>MwSt 0%</t>
  </si>
  <si>
    <t>MwSt 19%</t>
  </si>
  <si>
    <t>Fehlwürfe</t>
  </si>
  <si>
    <t>Preis in kg/netto</t>
  </si>
  <si>
    <t>An-Abfahrtspauschale</t>
  </si>
  <si>
    <t>Entsorgungsnachweis</t>
  </si>
  <si>
    <t>Abfallschlüssel</t>
  </si>
  <si>
    <t>Fremdwiegung</t>
  </si>
  <si>
    <t>Kühltruhe ab 160L</t>
  </si>
  <si>
    <t>200135*</t>
  </si>
  <si>
    <t>Kühltruhe bis 160L</t>
  </si>
  <si>
    <t>ISO Glas</t>
  </si>
  <si>
    <t>Europaletten</t>
  </si>
  <si>
    <t>Handelsware</t>
  </si>
  <si>
    <t>Autoglas-Verbundglas</t>
  </si>
  <si>
    <t>Fernseher bis 60cm</t>
  </si>
  <si>
    <t>Fernseher ab 60cm</t>
  </si>
  <si>
    <t>160213*</t>
  </si>
  <si>
    <t>Verpackungen Styropor</t>
  </si>
  <si>
    <t>PV Module</t>
  </si>
  <si>
    <t>Elektroschrott Drucker,Scanner</t>
  </si>
  <si>
    <t>Elektroschrott Laptop, Computer</t>
  </si>
  <si>
    <t>TFT Monitore</t>
  </si>
  <si>
    <t>Preis in Stück/netto</t>
  </si>
  <si>
    <t>gebrauchte elektrische Geräte</t>
  </si>
  <si>
    <t>Großgeräte Plotter, Drucker</t>
  </si>
  <si>
    <t>Drucker mit Patronen,Toner</t>
  </si>
  <si>
    <t>Pappe</t>
  </si>
  <si>
    <t>Papier</t>
  </si>
  <si>
    <t>Folien, Kunststoff</t>
  </si>
  <si>
    <t>Leuchtstoffröhren</t>
  </si>
  <si>
    <t>200121*</t>
  </si>
  <si>
    <t>Lampen, Leuchtmittel</t>
  </si>
  <si>
    <t>Bleibatterien</t>
  </si>
  <si>
    <t>160601*</t>
  </si>
  <si>
    <t>Bücher</t>
  </si>
  <si>
    <t>Gewicht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</si>
</sst>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3" fillId="2" borderId="1" xfId="0" applyNumberFormat="1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3F47-6595-428E-BCC6-CD80E70BA983}">
  <dimension ref="A1:I43"/>
  <sheetViews>
    <sheetView tabSelected="1" workbookViewId="0">
      <selection activeCell="F29" sqref="F29"/>
    </sheetView>
  </sheetViews>
  <sheetFormatPr baseColWidth="10" defaultRowHeight="15" x14ac:dyDescent="0.25"/>
  <cols>
    <col min="1" max="1" width="17" style="4" customWidth="1"/>
    <col min="2" max="2" width="31" style="4" customWidth="1"/>
    <col min="3" max="3" width="25.42578125" style="40" customWidth="1"/>
    <col min="4" max="4" width="21.42578125" style="29" customWidth="1"/>
    <col min="5" max="6" width="24.28515625" style="4" customWidth="1"/>
    <col min="7" max="7" width="21" style="4" bestFit="1" customWidth="1"/>
    <col min="8" max="8" width="19" style="31" customWidth="1"/>
    <col min="9" max="9" width="13.42578125" style="4" bestFit="1" customWidth="1"/>
    <col min="10" max="16384" width="11.42578125" style="4"/>
  </cols>
  <sheetData>
    <row r="1" spans="1:9" x14ac:dyDescent="0.25">
      <c r="A1" s="7" t="s">
        <v>5</v>
      </c>
      <c r="B1" s="1" t="s">
        <v>6</v>
      </c>
      <c r="C1" s="37" t="s">
        <v>30</v>
      </c>
      <c r="D1" s="8" t="s">
        <v>10</v>
      </c>
      <c r="E1" s="1" t="s">
        <v>13</v>
      </c>
      <c r="F1" s="1" t="s">
        <v>43</v>
      </c>
      <c r="G1" s="9" t="s">
        <v>8</v>
      </c>
      <c r="H1" s="10" t="s">
        <v>7</v>
      </c>
      <c r="I1" s="9"/>
    </row>
    <row r="2" spans="1:9" x14ac:dyDescent="0.25">
      <c r="A2" s="5">
        <v>1</v>
      </c>
      <c r="B2" s="5" t="s">
        <v>9</v>
      </c>
      <c r="C2" s="38"/>
      <c r="D2" s="11">
        <v>0.28000000000000003</v>
      </c>
      <c r="E2" s="5"/>
      <c r="F2" s="5"/>
      <c r="G2" s="5"/>
      <c r="H2" s="12"/>
      <c r="I2" s="5"/>
    </row>
    <row r="3" spans="1:9" x14ac:dyDescent="0.25">
      <c r="A3" s="5">
        <v>2</v>
      </c>
      <c r="B3" s="6" t="s">
        <v>11</v>
      </c>
      <c r="C3" s="38"/>
      <c r="D3" s="11">
        <v>50</v>
      </c>
      <c r="E3" s="5"/>
      <c r="F3" s="6"/>
      <c r="G3" s="5"/>
      <c r="H3" s="12"/>
      <c r="I3" s="13"/>
    </row>
    <row r="4" spans="1:9" x14ac:dyDescent="0.25">
      <c r="A4" s="5">
        <v>3</v>
      </c>
      <c r="B4" s="6" t="s">
        <v>12</v>
      </c>
      <c r="C4" s="38"/>
      <c r="D4" s="11">
        <v>150</v>
      </c>
      <c r="E4" s="5"/>
      <c r="F4" s="6"/>
      <c r="G4" s="5"/>
      <c r="H4" s="12"/>
      <c r="I4" s="13"/>
    </row>
    <row r="5" spans="1:9" x14ac:dyDescent="0.25">
      <c r="A5" s="5">
        <v>4</v>
      </c>
      <c r="B5" s="6" t="s">
        <v>14</v>
      </c>
      <c r="C5" s="38"/>
      <c r="D5" s="11">
        <v>20</v>
      </c>
      <c r="E5" s="5"/>
      <c r="F5" s="5"/>
      <c r="G5" s="5"/>
      <c r="H5" s="12"/>
      <c r="I5" s="13"/>
    </row>
    <row r="6" spans="1:9" x14ac:dyDescent="0.25">
      <c r="A6" s="5">
        <v>5</v>
      </c>
      <c r="B6" s="6" t="s">
        <v>15</v>
      </c>
      <c r="C6" s="38"/>
      <c r="D6" s="11">
        <v>75</v>
      </c>
      <c r="E6" s="5" t="s">
        <v>16</v>
      </c>
      <c r="F6" s="5"/>
      <c r="G6" s="5"/>
      <c r="H6" s="12"/>
      <c r="I6" s="13"/>
    </row>
    <row r="7" spans="1:9" x14ac:dyDescent="0.25">
      <c r="A7" s="5">
        <v>6</v>
      </c>
      <c r="B7" s="6" t="s">
        <v>17</v>
      </c>
      <c r="C7" s="38"/>
      <c r="D7" s="11">
        <v>55</v>
      </c>
      <c r="E7" s="5" t="s">
        <v>16</v>
      </c>
      <c r="F7" s="5"/>
      <c r="G7" s="5"/>
      <c r="H7" s="12"/>
      <c r="I7" s="13"/>
    </row>
    <row r="8" spans="1:9" x14ac:dyDescent="0.25">
      <c r="A8" s="5">
        <v>7</v>
      </c>
      <c r="B8" s="6" t="s">
        <v>18</v>
      </c>
      <c r="C8" s="38"/>
      <c r="D8" s="11">
        <v>0.15</v>
      </c>
      <c r="E8" s="5">
        <v>200102</v>
      </c>
      <c r="F8" s="5"/>
      <c r="G8" s="5"/>
      <c r="H8" s="12"/>
      <c r="I8" s="13"/>
    </row>
    <row r="9" spans="1:9" x14ac:dyDescent="0.25">
      <c r="A9" s="5">
        <v>8</v>
      </c>
      <c r="B9" s="6" t="s">
        <v>21</v>
      </c>
      <c r="C9" s="38"/>
      <c r="D9" s="11">
        <v>0.15</v>
      </c>
      <c r="E9" s="5">
        <v>200102</v>
      </c>
      <c r="F9" s="5"/>
      <c r="G9" s="5"/>
      <c r="H9" s="12"/>
      <c r="I9" s="13"/>
    </row>
    <row r="10" spans="1:9" x14ac:dyDescent="0.25">
      <c r="A10" s="5">
        <v>9</v>
      </c>
      <c r="B10" s="6" t="s">
        <v>19</v>
      </c>
      <c r="C10" s="38"/>
      <c r="D10" s="11">
        <v>-2.5</v>
      </c>
      <c r="E10" s="5" t="s">
        <v>20</v>
      </c>
      <c r="F10" s="5"/>
      <c r="G10" s="5"/>
      <c r="H10" s="12"/>
      <c r="I10" s="13"/>
    </row>
    <row r="11" spans="1:9" x14ac:dyDescent="0.25">
      <c r="A11" s="5">
        <v>10</v>
      </c>
      <c r="B11" s="6" t="s">
        <v>22</v>
      </c>
      <c r="C11" s="38"/>
      <c r="D11" s="11">
        <v>20</v>
      </c>
      <c r="E11" s="5" t="s">
        <v>24</v>
      </c>
      <c r="F11" s="5"/>
      <c r="G11" s="5"/>
      <c r="H11" s="12"/>
      <c r="I11" s="13"/>
    </row>
    <row r="12" spans="1:9" x14ac:dyDescent="0.25">
      <c r="A12" s="5">
        <v>11</v>
      </c>
      <c r="B12" s="6" t="s">
        <v>23</v>
      </c>
      <c r="C12" s="38"/>
      <c r="D12" s="11">
        <v>25</v>
      </c>
      <c r="E12" s="5" t="s">
        <v>24</v>
      </c>
      <c r="F12" s="5"/>
      <c r="G12" s="5"/>
      <c r="H12" s="12"/>
      <c r="I12" s="13"/>
    </row>
    <row r="13" spans="1:9" x14ac:dyDescent="0.25">
      <c r="A13" s="5">
        <v>12</v>
      </c>
      <c r="B13" s="6" t="s">
        <v>25</v>
      </c>
      <c r="C13" s="38"/>
      <c r="D13" s="11">
        <v>45</v>
      </c>
      <c r="E13" s="5">
        <v>150102</v>
      </c>
      <c r="F13" s="5"/>
      <c r="G13" s="5"/>
      <c r="H13" s="12"/>
      <c r="I13" s="13"/>
    </row>
    <row r="14" spans="1:9" x14ac:dyDescent="0.25">
      <c r="A14" s="5">
        <v>13</v>
      </c>
      <c r="B14" s="6" t="s">
        <v>26</v>
      </c>
      <c r="C14" s="38"/>
      <c r="D14" s="11">
        <v>16</v>
      </c>
      <c r="E14" s="5">
        <v>160214</v>
      </c>
      <c r="F14" s="5"/>
      <c r="G14" s="5"/>
      <c r="H14" s="12"/>
      <c r="I14" s="13"/>
    </row>
    <row r="15" spans="1:9" x14ac:dyDescent="0.25">
      <c r="A15" s="5">
        <v>14</v>
      </c>
      <c r="B15" s="6" t="s">
        <v>27</v>
      </c>
      <c r="C15" s="38"/>
      <c r="D15" s="11">
        <v>0.28000000000000003</v>
      </c>
      <c r="E15" s="5" t="s">
        <v>24</v>
      </c>
      <c r="F15" s="5"/>
      <c r="G15" s="5"/>
      <c r="H15" s="12"/>
      <c r="I15" s="13"/>
    </row>
    <row r="16" spans="1:9" x14ac:dyDescent="0.25">
      <c r="A16" s="5">
        <v>15</v>
      </c>
      <c r="B16" s="6" t="s">
        <v>32</v>
      </c>
      <c r="C16" s="38"/>
      <c r="D16" s="11">
        <v>0.35</v>
      </c>
      <c r="E16" s="5">
        <v>200136</v>
      </c>
      <c r="F16" s="5"/>
      <c r="G16" s="5"/>
      <c r="H16" s="12"/>
      <c r="I16" s="13"/>
    </row>
    <row r="17" spans="1:9" x14ac:dyDescent="0.25">
      <c r="A17" s="5">
        <v>16</v>
      </c>
      <c r="B17" s="6" t="s">
        <v>31</v>
      </c>
      <c r="C17" s="38"/>
      <c r="D17" s="11">
        <v>0.28000000000000003</v>
      </c>
      <c r="E17" s="5">
        <v>200136</v>
      </c>
      <c r="F17" s="5"/>
      <c r="G17" s="5"/>
      <c r="H17" s="12"/>
      <c r="I17" s="13"/>
    </row>
    <row r="18" spans="1:9" x14ac:dyDescent="0.25">
      <c r="A18" s="5">
        <v>17</v>
      </c>
      <c r="B18" s="6" t="s">
        <v>28</v>
      </c>
      <c r="C18" s="38"/>
      <c r="D18" s="11">
        <v>0.25</v>
      </c>
      <c r="E18" s="5">
        <v>160214</v>
      </c>
      <c r="F18" s="5"/>
      <c r="G18" s="5"/>
      <c r="H18" s="12"/>
      <c r="I18" s="13"/>
    </row>
    <row r="19" spans="1:9" x14ac:dyDescent="0.25">
      <c r="A19" s="5">
        <v>18</v>
      </c>
      <c r="B19" s="6" t="s">
        <v>29</v>
      </c>
      <c r="C19" s="38">
        <v>4</v>
      </c>
      <c r="D19" s="11"/>
      <c r="E19" s="5" t="s">
        <v>24</v>
      </c>
      <c r="F19" s="5"/>
      <c r="G19" s="5"/>
      <c r="H19" s="12"/>
      <c r="I19" s="13"/>
    </row>
    <row r="20" spans="1:9" x14ac:dyDescent="0.25">
      <c r="A20" s="5">
        <v>19</v>
      </c>
      <c r="B20" s="6" t="s">
        <v>33</v>
      </c>
      <c r="C20" s="38"/>
      <c r="D20" s="11">
        <v>0.45</v>
      </c>
      <c r="E20" s="5" t="s">
        <v>24</v>
      </c>
      <c r="F20" s="5"/>
      <c r="G20" s="5"/>
      <c r="H20" s="12"/>
      <c r="I20" s="13"/>
    </row>
    <row r="21" spans="1:9" x14ac:dyDescent="0.25">
      <c r="A21" s="5">
        <v>20</v>
      </c>
      <c r="B21" s="6" t="s">
        <v>34</v>
      </c>
      <c r="C21" s="38"/>
      <c r="D21" s="11">
        <v>0.15</v>
      </c>
      <c r="E21" s="5">
        <v>200101</v>
      </c>
      <c r="F21" s="5"/>
      <c r="G21" s="5"/>
      <c r="H21" s="12"/>
      <c r="I21" s="13"/>
    </row>
    <row r="22" spans="1:9" x14ac:dyDescent="0.25">
      <c r="A22" s="5">
        <v>21</v>
      </c>
      <c r="B22" s="6" t="s">
        <v>42</v>
      </c>
      <c r="C22" s="38"/>
      <c r="D22" s="11">
        <v>0.15</v>
      </c>
      <c r="E22" s="5">
        <v>200101</v>
      </c>
      <c r="F22" s="5">
        <v>5</v>
      </c>
      <c r="G22" s="5"/>
      <c r="H22" s="12">
        <f>D22*F22</f>
        <v>0.75</v>
      </c>
      <c r="I22" s="13"/>
    </row>
    <row r="23" spans="1:9" x14ac:dyDescent="0.25">
      <c r="A23" s="2">
        <v>22</v>
      </c>
      <c r="B23" s="3" t="s">
        <v>35</v>
      </c>
      <c r="C23" s="39"/>
      <c r="D23" s="41">
        <v>-0.01</v>
      </c>
      <c r="E23" s="5">
        <v>200101</v>
      </c>
      <c r="F23" s="5"/>
      <c r="G23" s="2"/>
      <c r="H23" s="14"/>
      <c r="I23" s="15"/>
    </row>
    <row r="24" spans="1:9" x14ac:dyDescent="0.25">
      <c r="A24" s="2">
        <v>23</v>
      </c>
      <c r="B24" s="3" t="s">
        <v>36</v>
      </c>
      <c r="C24" s="39"/>
      <c r="D24" s="11">
        <v>0.28000000000000003</v>
      </c>
      <c r="E24" s="5">
        <v>150102</v>
      </c>
      <c r="F24" s="5"/>
      <c r="G24" s="2"/>
      <c r="H24" s="14"/>
      <c r="I24" s="15"/>
    </row>
    <row r="25" spans="1:9" x14ac:dyDescent="0.25">
      <c r="A25" s="2">
        <v>24</v>
      </c>
      <c r="B25" s="3" t="s">
        <v>37</v>
      </c>
      <c r="C25" s="39"/>
      <c r="D25" s="11">
        <v>0.95</v>
      </c>
      <c r="E25" s="5" t="s">
        <v>38</v>
      </c>
      <c r="F25" s="5"/>
      <c r="G25" s="2"/>
      <c r="H25" s="14"/>
      <c r="I25" s="15"/>
    </row>
    <row r="26" spans="1:9" x14ac:dyDescent="0.25">
      <c r="A26" s="2">
        <v>25</v>
      </c>
      <c r="B26" s="3" t="s">
        <v>39</v>
      </c>
      <c r="C26" s="39"/>
      <c r="D26" s="11">
        <v>0.95</v>
      </c>
      <c r="E26" s="5" t="s">
        <v>38</v>
      </c>
      <c r="F26" s="5"/>
      <c r="G26" s="2"/>
      <c r="H26" s="14"/>
      <c r="I26" s="15"/>
    </row>
    <row r="27" spans="1:9" x14ac:dyDescent="0.25">
      <c r="A27" s="2">
        <v>26</v>
      </c>
      <c r="B27" s="3" t="s">
        <v>40</v>
      </c>
      <c r="C27" s="39"/>
      <c r="D27" s="41">
        <v>-0.17</v>
      </c>
      <c r="E27" s="5" t="s">
        <v>41</v>
      </c>
      <c r="F27" s="5"/>
      <c r="G27" s="2"/>
      <c r="H27" s="14"/>
      <c r="I27" s="15"/>
    </row>
    <row r="28" spans="1:9" x14ac:dyDescent="0.25">
      <c r="A28" s="2">
        <v>27</v>
      </c>
      <c r="B28" s="3"/>
      <c r="C28" s="39"/>
      <c r="D28" s="11"/>
      <c r="E28" s="5"/>
      <c r="F28" s="5"/>
      <c r="G28" s="2"/>
      <c r="H28" s="14"/>
      <c r="I28" s="15"/>
    </row>
    <row r="29" spans="1:9" x14ac:dyDescent="0.25">
      <c r="A29" s="2"/>
      <c r="B29" s="3"/>
      <c r="C29" s="39"/>
      <c r="D29" s="11"/>
      <c r="E29" s="5"/>
      <c r="F29" s="5"/>
      <c r="G29" s="2"/>
      <c r="H29" s="14"/>
      <c r="I29" s="15"/>
    </row>
    <row r="30" spans="1:9" x14ac:dyDescent="0.25">
      <c r="A30" s="2"/>
      <c r="B30" s="2"/>
      <c r="C30" s="39"/>
      <c r="D30" s="16"/>
      <c r="E30" s="2"/>
      <c r="F30" s="2"/>
      <c r="G30" s="2"/>
      <c r="H30" s="14"/>
      <c r="I30" s="15"/>
    </row>
    <row r="31" spans="1:9" x14ac:dyDescent="0.25">
      <c r="D31" s="17" t="s">
        <v>0</v>
      </c>
      <c r="E31" s="18"/>
      <c r="F31" s="18"/>
      <c r="G31" s="18">
        <f>SUM(G3:G30)</f>
        <v>0</v>
      </c>
      <c r="H31" s="19"/>
      <c r="I31" s="20">
        <f>SUM(I3:I30)</f>
        <v>0</v>
      </c>
    </row>
    <row r="32" spans="1:9" x14ac:dyDescent="0.25">
      <c r="D32" s="21"/>
      <c r="E32" s="22"/>
      <c r="F32" s="22"/>
      <c r="G32" s="23"/>
      <c r="H32" s="24"/>
      <c r="I32" s="25"/>
    </row>
    <row r="33" spans="4:9" x14ac:dyDescent="0.25">
      <c r="D33" s="26"/>
      <c r="E33" s="27"/>
      <c r="F33" s="27"/>
      <c r="G33" s="28"/>
      <c r="H33" s="14"/>
      <c r="I33" s="2"/>
    </row>
    <row r="34" spans="4:9" x14ac:dyDescent="0.25">
      <c r="D34" s="21"/>
      <c r="E34" s="22"/>
      <c r="F34" s="22"/>
      <c r="G34" s="21"/>
      <c r="H34" s="14"/>
      <c r="I34" s="2"/>
    </row>
    <row r="35" spans="4:9" x14ac:dyDescent="0.25">
      <c r="G35" s="30"/>
    </row>
    <row r="36" spans="4:9" x14ac:dyDescent="0.25">
      <c r="D36" s="32"/>
      <c r="E36" s="33"/>
      <c r="F36" s="33"/>
      <c r="G36" s="34"/>
      <c r="H36" s="35"/>
      <c r="I36" s="33"/>
    </row>
    <row r="37" spans="4:9" x14ac:dyDescent="0.25">
      <c r="D37" s="36"/>
      <c r="E37" s="34"/>
      <c r="F37" s="34"/>
      <c r="G37" s="33"/>
      <c r="H37" s="35"/>
      <c r="I37" s="34"/>
    </row>
    <row r="38" spans="4:9" x14ac:dyDescent="0.25">
      <c r="D38" s="36"/>
      <c r="E38" s="34"/>
      <c r="F38" s="34"/>
      <c r="G38" s="34"/>
      <c r="H38" s="35"/>
      <c r="I38" s="34"/>
    </row>
    <row r="39" spans="4:9" x14ac:dyDescent="0.25">
      <c r="D39" s="36"/>
      <c r="E39" s="34"/>
      <c r="F39" s="34"/>
      <c r="G39" s="34"/>
      <c r="H39" s="35"/>
      <c r="I39" s="34"/>
    </row>
    <row r="40" spans="4:9" x14ac:dyDescent="0.25">
      <c r="D40" s="36"/>
      <c r="E40" s="34"/>
      <c r="F40" s="34"/>
      <c r="G40" s="34" t="s">
        <v>1</v>
      </c>
      <c r="H40" s="35">
        <f>SUM(H37:H39)</f>
        <v>0</v>
      </c>
      <c r="I40" s="34"/>
    </row>
    <row r="41" spans="4:9" x14ac:dyDescent="0.25">
      <c r="D41" s="36"/>
      <c r="E41" s="34"/>
      <c r="F41" s="34"/>
      <c r="G41" s="34" t="s">
        <v>2</v>
      </c>
      <c r="H41" s="35">
        <f>H40*I41</f>
        <v>0</v>
      </c>
      <c r="I41" s="34">
        <v>0</v>
      </c>
    </row>
    <row r="42" spans="4:9" x14ac:dyDescent="0.25">
      <c r="D42" s="36"/>
      <c r="E42" s="34"/>
      <c r="F42" s="34"/>
      <c r="G42" s="33" t="s">
        <v>3</v>
      </c>
      <c r="H42" s="35">
        <f>SUM(H40:H41)</f>
        <v>0</v>
      </c>
      <c r="I42" s="34"/>
    </row>
    <row r="43" spans="4:9" x14ac:dyDescent="0.25">
      <c r="D43" s="36"/>
      <c r="E43" s="34"/>
      <c r="F43" s="34"/>
      <c r="G43" s="34" t="s">
        <v>4</v>
      </c>
      <c r="H43" s="35" t="e">
        <f>H42/I43</f>
        <v>#DIV/0!</v>
      </c>
      <c r="I43" s="34">
        <f>G31</f>
        <v>0</v>
      </c>
    </row>
  </sheetData>
  <autoFilter ref="A1:I28" xr:uid="{A3153F47-6595-428E-BCC6-CD80E70BA98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Kaestner</dc:creator>
  <cp:lastModifiedBy>christian.kaestner@metcera.de</cp:lastModifiedBy>
  <dcterms:created xsi:type="dcterms:W3CDTF">2023-11-21T10:55:21Z</dcterms:created>
  <dcterms:modified xsi:type="dcterms:W3CDTF">2023-11-21T15:31:40Z</dcterms:modified>
</cp:coreProperties>
</file>